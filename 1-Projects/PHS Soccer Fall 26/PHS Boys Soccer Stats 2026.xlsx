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clintock\Desktop\"/>
    </mc:Choice>
  </mc:AlternateContent>
  <xr:revisionPtr revIDLastSave="0" documentId="13_ncr:1_{91593043-9542-4129-95B4-68A9171818EF}" xr6:coauthVersionLast="47" xr6:coauthVersionMax="47" xr10:uidLastSave="{00000000-0000-0000-0000-000000000000}"/>
  <bookViews>
    <workbookView xWindow="-108" yWindow="-108" windowWidth="23256" windowHeight="12456" activeTab="1" xr2:uid="{E0192DD7-5692-4EED-A117-56351E54AD65}"/>
  </bookViews>
  <sheets>
    <sheet name="Game Stats" sheetId="1" r:id="rId1"/>
    <sheet name="Team Lea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2" l="1"/>
  <c r="G17" i="2"/>
  <c r="G16" i="2"/>
  <c r="F20" i="2"/>
  <c r="E20" i="2"/>
  <c r="G15" i="2"/>
  <c r="G14" i="2"/>
  <c r="G13" i="2"/>
  <c r="G12" i="2"/>
  <c r="G11" i="2"/>
  <c r="G10" i="2"/>
  <c r="G9" i="2"/>
  <c r="G8" i="2"/>
  <c r="G20" i="2" l="1"/>
  <c r="H20" i="2" l="1"/>
  <c r="H18" i="2"/>
  <c r="H17" i="2"/>
  <c r="H16" i="2"/>
  <c r="H15" i="2"/>
  <c r="H14" i="2"/>
  <c r="H12" i="2"/>
  <c r="H11" i="2"/>
  <c r="H10" i="2"/>
  <c r="H9" i="2"/>
  <c r="H8" i="2"/>
  <c r="H13" i="2"/>
</calcChain>
</file>

<file path=xl/sharedStrings.xml><?xml version="1.0" encoding="utf-8"?>
<sst xmlns="http://schemas.openxmlformats.org/spreadsheetml/2006/main" count="213" uniqueCount="119">
  <si>
    <t>Petoskey High School Boys Soccer Season 2026</t>
  </si>
  <si>
    <t>08.21.26</t>
  </si>
  <si>
    <t>Away</t>
  </si>
  <si>
    <t>Date</t>
  </si>
  <si>
    <t xml:space="preserve">Home </t>
  </si>
  <si>
    <t>Haslett</t>
  </si>
  <si>
    <t>Petoskey</t>
  </si>
  <si>
    <t>Goals</t>
  </si>
  <si>
    <t>08.19.26</t>
  </si>
  <si>
    <t>Hartford</t>
  </si>
  <si>
    <t>Grass Lake</t>
  </si>
  <si>
    <t>(Jace Stradling (1)</t>
  </si>
  <si>
    <t>Mason McLintock (1)</t>
  </si>
  <si>
    <t>-</t>
  </si>
  <si>
    <t>08.25.26</t>
  </si>
  <si>
    <t>Gaylord</t>
  </si>
  <si>
    <t>08.27.26</t>
  </si>
  <si>
    <t>Cadillac</t>
  </si>
  <si>
    <t>09.01.26</t>
  </si>
  <si>
    <t>Sault</t>
  </si>
  <si>
    <t>09.03.26</t>
  </si>
  <si>
    <t>Maple City Glen Lake</t>
  </si>
  <si>
    <t>Ashton Attie (1)</t>
  </si>
  <si>
    <t xml:space="preserve">Mason McLintock (1) </t>
  </si>
  <si>
    <t>Connor Duch (1)</t>
  </si>
  <si>
    <t xml:space="preserve">Connor Duch (2) </t>
  </si>
  <si>
    <t>Graham Wong (1)</t>
  </si>
  <si>
    <t>Assist Primary</t>
  </si>
  <si>
    <t>Assist Secondary</t>
  </si>
  <si>
    <t>Colin O'Donnell (2)</t>
  </si>
  <si>
    <t>Graham Wong (2)</t>
  </si>
  <si>
    <t>Ashton Attie (2)</t>
  </si>
  <si>
    <t>Colin O'Donnell (1)</t>
  </si>
  <si>
    <t>Colin O'Donnell (3)</t>
  </si>
  <si>
    <t>Ashton Attie (3)</t>
  </si>
  <si>
    <t>Graham Wong (3)</t>
  </si>
  <si>
    <t>Tyce Melvin (1)</t>
  </si>
  <si>
    <t>Ashton Attie</t>
  </si>
  <si>
    <t>Ashton Attie (4)</t>
  </si>
  <si>
    <t>Mason McLintock (2)</t>
  </si>
  <si>
    <t>Ashton Attie (5)</t>
  </si>
  <si>
    <t>Sander Cole (1)</t>
  </si>
  <si>
    <t>09.10.26</t>
  </si>
  <si>
    <t xml:space="preserve"> </t>
  </si>
  <si>
    <t>Ashton Attie (7)</t>
  </si>
  <si>
    <t>Mason McLintock (3)</t>
  </si>
  <si>
    <t>Graham Wong (4)</t>
  </si>
  <si>
    <t>09.15.26</t>
  </si>
  <si>
    <t>09.17.26</t>
  </si>
  <si>
    <t>Alpena</t>
  </si>
  <si>
    <t>Ashton Attie (8)</t>
  </si>
  <si>
    <t>Mason McLintock (4)</t>
  </si>
  <si>
    <t>09.18.26</t>
  </si>
  <si>
    <t>Harbor Springs</t>
  </si>
  <si>
    <t xml:space="preserve">Mason McLintock (4) </t>
  </si>
  <si>
    <t>Ashton Attie (9)</t>
  </si>
  <si>
    <t>Colin O'Donnell (4)</t>
  </si>
  <si>
    <t>Tyce Melvin (2)</t>
  </si>
  <si>
    <t>Mason McLintock (5)</t>
  </si>
  <si>
    <t>09.22.26</t>
  </si>
  <si>
    <t>09.24.26</t>
  </si>
  <si>
    <t>Mason McLintock (6)</t>
  </si>
  <si>
    <t>Roland Werth (1)</t>
  </si>
  <si>
    <t>Mason McLintock (7)</t>
  </si>
  <si>
    <t>Ashton Attie (10)</t>
  </si>
  <si>
    <t>09.25.26</t>
  </si>
  <si>
    <t>Ashton Attie (11)</t>
  </si>
  <si>
    <t>Ashton Attie (12)</t>
  </si>
  <si>
    <t>Mason McLintock (8)</t>
  </si>
  <si>
    <t>Graham Wong (5)</t>
  </si>
  <si>
    <t>10.03.26</t>
  </si>
  <si>
    <t>Midland</t>
  </si>
  <si>
    <t>Miles Cotant-Harrington</t>
  </si>
  <si>
    <t>Miles Cotant-Harrington (1)</t>
  </si>
  <si>
    <t>Mason McLintock (9)</t>
  </si>
  <si>
    <t>Connor Duch (3)</t>
  </si>
  <si>
    <t>10.06.26</t>
  </si>
  <si>
    <t>10.08.26</t>
  </si>
  <si>
    <t>TC Central</t>
  </si>
  <si>
    <t>TC West</t>
  </si>
  <si>
    <t>Ashton Attie (13)</t>
  </si>
  <si>
    <t>10.12.26</t>
  </si>
  <si>
    <t>10.20.26</t>
  </si>
  <si>
    <t>Ashton Attie (14)</t>
  </si>
  <si>
    <t>Miles Cotant-Harrington (2)</t>
  </si>
  <si>
    <t>Mason McLintock (10)</t>
  </si>
  <si>
    <t>Ashton Attie (15)</t>
  </si>
  <si>
    <t>Colin O'Donnell (5)</t>
  </si>
  <si>
    <t>Mason McLintock (11)</t>
  </si>
  <si>
    <t>10.22.26</t>
  </si>
  <si>
    <t>Marquette</t>
  </si>
  <si>
    <t>Assists</t>
  </si>
  <si>
    <t>G/A</t>
  </si>
  <si>
    <t>Mason McLintock</t>
  </si>
  <si>
    <t>Colin O'Donnell</t>
  </si>
  <si>
    <t>Graham Wong</t>
  </si>
  <si>
    <t>Tyce Melvin</t>
  </si>
  <si>
    <t>Connor Dutch</t>
  </si>
  <si>
    <t>Roland Werth</t>
  </si>
  <si>
    <t>Jace Stradling</t>
  </si>
  <si>
    <t>Sander Cole</t>
  </si>
  <si>
    <t>GR So. Christian</t>
  </si>
  <si>
    <t>Conference: 9-5-1   Overall: 12-8-1</t>
  </si>
  <si>
    <t>N/L Corey</t>
  </si>
  <si>
    <t>N/L Corey (1)</t>
  </si>
  <si>
    <t>Tyce Melvin (3)</t>
  </si>
  <si>
    <t>Contr</t>
  </si>
  <si>
    <t>Player</t>
  </si>
  <si>
    <t>No.</t>
  </si>
  <si>
    <t>7/12</t>
  </si>
  <si>
    <t>Match</t>
  </si>
  <si>
    <t>Goal</t>
  </si>
  <si>
    <t>Tyce Melvin (3) pk</t>
  </si>
  <si>
    <t>Tyce Melvin (2) pk</t>
  </si>
  <si>
    <t>Mason McLintock (3) pk</t>
  </si>
  <si>
    <t>Ashton Attie (6) pk</t>
  </si>
  <si>
    <t>Mason McLIntock (2) pk</t>
  </si>
  <si>
    <t>Colin O'Donnell (1) pk</t>
  </si>
  <si>
    <t>[OG]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</si>
</sst>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150E-BB2D-4A97-8C8E-92D95BFB59FC}">
  <dimension ref="A1:I47"/>
  <sheetViews>
    <sheetView topLeftCell="A13" zoomScale="88" zoomScaleNormal="88" workbookViewId="0">
      <selection activeCell="C19" sqref="C19"/>
    </sheetView>
  </sheetViews>
  <sheetFormatPr defaultRowHeight="14.4" x14ac:dyDescent="0.3"/>
  <cols>
    <col min="1" max="1" width="6.44140625" style="1" customWidth="1"/>
    <col min="2" max="2" width="9.88671875" customWidth="1"/>
    <col min="3" max="3" width="11.109375" customWidth="1"/>
    <col min="4" max="4" width="4" style="1" customWidth="1"/>
    <col min="5" max="5" width="4.88671875" style="1" customWidth="1"/>
    <col min="6" max="6" width="18.6640625" customWidth="1"/>
    <col min="7" max="7" width="23.21875" customWidth="1"/>
    <col min="8" max="8" width="20.21875" customWidth="1"/>
    <col min="9" max="9" width="19" customWidth="1"/>
  </cols>
  <sheetData>
    <row r="1" spans="1:9" ht="18" x14ac:dyDescent="0.3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4.4" customHeight="1" x14ac:dyDescent="0.3"/>
    <row r="3" spans="1:9" x14ac:dyDescent="0.3">
      <c r="A3" s="4" t="s">
        <v>110</v>
      </c>
      <c r="B3" s="3" t="s">
        <v>3</v>
      </c>
      <c r="C3" s="3" t="s">
        <v>4</v>
      </c>
      <c r="D3" s="4"/>
      <c r="E3" s="4"/>
      <c r="F3" s="3" t="s">
        <v>2</v>
      </c>
      <c r="G3" s="3" t="s">
        <v>111</v>
      </c>
      <c r="H3" s="3" t="s">
        <v>27</v>
      </c>
      <c r="I3" s="3" t="s">
        <v>28</v>
      </c>
    </row>
    <row r="4" spans="1:9" ht="7.8" customHeight="1" x14ac:dyDescent="0.3"/>
    <row r="5" spans="1:9" x14ac:dyDescent="0.3">
      <c r="A5" s="1">
        <v>1</v>
      </c>
      <c r="B5" t="s">
        <v>8</v>
      </c>
      <c r="C5" t="s">
        <v>5</v>
      </c>
      <c r="D5" s="1">
        <v>6</v>
      </c>
      <c r="E5" s="1">
        <v>1</v>
      </c>
      <c r="F5" t="s">
        <v>6</v>
      </c>
      <c r="G5" t="s">
        <v>118</v>
      </c>
      <c r="H5" t="s">
        <v>13</v>
      </c>
      <c r="I5" t="s">
        <v>13</v>
      </c>
    </row>
    <row r="6" spans="1:9" x14ac:dyDescent="0.3">
      <c r="A6" s="1">
        <v>2</v>
      </c>
      <c r="B6" t="s">
        <v>1</v>
      </c>
      <c r="C6" t="s">
        <v>9</v>
      </c>
      <c r="D6" s="1">
        <v>2</v>
      </c>
      <c r="E6" s="1">
        <v>0</v>
      </c>
      <c r="F6" t="s">
        <v>6</v>
      </c>
      <c r="G6" t="s">
        <v>13</v>
      </c>
      <c r="H6" t="s">
        <v>13</v>
      </c>
      <c r="I6" t="s">
        <v>13</v>
      </c>
    </row>
    <row r="7" spans="1:9" x14ac:dyDescent="0.3">
      <c r="A7" s="1">
        <v>3</v>
      </c>
      <c r="B7" t="s">
        <v>1</v>
      </c>
      <c r="C7" t="s">
        <v>6</v>
      </c>
      <c r="D7" s="1">
        <v>1</v>
      </c>
      <c r="E7" s="1">
        <v>0</v>
      </c>
      <c r="F7" t="s">
        <v>10</v>
      </c>
      <c r="G7" t="s">
        <v>12</v>
      </c>
      <c r="H7" t="s">
        <v>11</v>
      </c>
      <c r="I7" t="s">
        <v>13</v>
      </c>
    </row>
    <row r="8" spans="1:9" x14ac:dyDescent="0.3">
      <c r="A8" s="1">
        <v>4</v>
      </c>
      <c r="B8" t="s">
        <v>1</v>
      </c>
      <c r="C8" t="s">
        <v>6</v>
      </c>
      <c r="D8" s="1">
        <v>0</v>
      </c>
      <c r="E8" s="1">
        <v>1</v>
      </c>
      <c r="F8" t="s">
        <v>101</v>
      </c>
      <c r="G8" t="s">
        <v>13</v>
      </c>
      <c r="H8" t="s">
        <v>13</v>
      </c>
      <c r="I8" t="s">
        <v>13</v>
      </c>
    </row>
    <row r="9" spans="1:9" x14ac:dyDescent="0.3">
      <c r="A9" s="1">
        <v>5</v>
      </c>
      <c r="B9" t="s">
        <v>14</v>
      </c>
      <c r="C9" t="s">
        <v>15</v>
      </c>
      <c r="D9" s="1">
        <v>2</v>
      </c>
      <c r="E9" s="1">
        <v>1</v>
      </c>
      <c r="F9" t="s">
        <v>6</v>
      </c>
      <c r="G9" t="s">
        <v>24</v>
      </c>
      <c r="H9" t="s">
        <v>104</v>
      </c>
      <c r="I9" t="s">
        <v>13</v>
      </c>
    </row>
    <row r="10" spans="1:9" x14ac:dyDescent="0.3">
      <c r="G10" t="s">
        <v>117</v>
      </c>
      <c r="H10" t="s">
        <v>13</v>
      </c>
      <c r="I10" t="s">
        <v>13</v>
      </c>
    </row>
    <row r="11" spans="1:9" x14ac:dyDescent="0.3">
      <c r="A11" s="1">
        <v>6</v>
      </c>
      <c r="B11" t="s">
        <v>16</v>
      </c>
      <c r="C11" t="s">
        <v>6</v>
      </c>
      <c r="D11" s="1">
        <v>6</v>
      </c>
      <c r="E11" s="1">
        <v>0</v>
      </c>
      <c r="F11" t="s">
        <v>17</v>
      </c>
      <c r="G11" t="s">
        <v>22</v>
      </c>
      <c r="H11" t="s">
        <v>23</v>
      </c>
      <c r="I11" t="s">
        <v>13</v>
      </c>
    </row>
    <row r="12" spans="1:9" x14ac:dyDescent="0.3">
      <c r="G12" t="s">
        <v>25</v>
      </c>
      <c r="H12" t="s">
        <v>26</v>
      </c>
      <c r="I12" t="s">
        <v>13</v>
      </c>
    </row>
    <row r="13" spans="1:9" x14ac:dyDescent="0.3">
      <c r="G13" t="s">
        <v>29</v>
      </c>
      <c r="H13" t="s">
        <v>30</v>
      </c>
      <c r="I13" t="s">
        <v>22</v>
      </c>
    </row>
    <row r="14" spans="1:9" x14ac:dyDescent="0.3">
      <c r="G14" t="s">
        <v>31</v>
      </c>
      <c r="H14" t="s">
        <v>32</v>
      </c>
      <c r="I14" t="s">
        <v>13</v>
      </c>
    </row>
    <row r="15" spans="1:9" x14ac:dyDescent="0.3">
      <c r="G15" t="s">
        <v>33</v>
      </c>
      <c r="H15" t="s">
        <v>24</v>
      </c>
      <c r="I15" t="s">
        <v>13</v>
      </c>
    </row>
    <row r="16" spans="1:9" x14ac:dyDescent="0.3">
      <c r="G16" t="s">
        <v>116</v>
      </c>
      <c r="I16" t="s">
        <v>13</v>
      </c>
    </row>
    <row r="17" spans="1:9" x14ac:dyDescent="0.3">
      <c r="A17" s="1">
        <v>7</v>
      </c>
      <c r="B17" t="s">
        <v>18</v>
      </c>
      <c r="C17" t="s">
        <v>6</v>
      </c>
      <c r="D17" s="1">
        <v>4</v>
      </c>
      <c r="E17" s="1">
        <v>0</v>
      </c>
      <c r="F17" t="s">
        <v>19</v>
      </c>
      <c r="G17" t="s">
        <v>34</v>
      </c>
      <c r="H17" t="s">
        <v>29</v>
      </c>
      <c r="I17" t="s">
        <v>35</v>
      </c>
    </row>
    <row r="18" spans="1:9" x14ac:dyDescent="0.3">
      <c r="G18" t="s">
        <v>36</v>
      </c>
      <c r="H18" t="s">
        <v>31</v>
      </c>
      <c r="I18" t="s">
        <v>33</v>
      </c>
    </row>
    <row r="19" spans="1:9" x14ac:dyDescent="0.3">
      <c r="G19" t="s">
        <v>38</v>
      </c>
      <c r="H19" t="s">
        <v>39</v>
      </c>
      <c r="I19" t="s">
        <v>13</v>
      </c>
    </row>
    <row r="20" spans="1:9" x14ac:dyDescent="0.3">
      <c r="G20" t="s">
        <v>40</v>
      </c>
      <c r="H20" t="s">
        <v>36</v>
      </c>
      <c r="I20" t="s">
        <v>41</v>
      </c>
    </row>
    <row r="21" spans="1:9" x14ac:dyDescent="0.3">
      <c r="A21" s="1">
        <v>8</v>
      </c>
      <c r="B21" t="s">
        <v>20</v>
      </c>
      <c r="C21" t="s">
        <v>6</v>
      </c>
      <c r="D21" s="1">
        <v>3</v>
      </c>
      <c r="E21" s="1">
        <v>2</v>
      </c>
      <c r="F21" t="s">
        <v>21</v>
      </c>
      <c r="G21" t="s">
        <v>115</v>
      </c>
      <c r="H21" t="s">
        <v>13</v>
      </c>
      <c r="I21" t="s">
        <v>13</v>
      </c>
    </row>
    <row r="22" spans="1:9" x14ac:dyDescent="0.3">
      <c r="G22" t="s">
        <v>114</v>
      </c>
      <c r="H22" t="s">
        <v>13</v>
      </c>
      <c r="I22" t="s">
        <v>13</v>
      </c>
    </row>
    <row r="23" spans="1:9" x14ac:dyDescent="0.3">
      <c r="G23" t="s">
        <v>44</v>
      </c>
      <c r="H23" t="s">
        <v>45</v>
      </c>
      <c r="I23" t="s">
        <v>46</v>
      </c>
    </row>
    <row r="24" spans="1:9" x14ac:dyDescent="0.3">
      <c r="A24" s="1">
        <v>9</v>
      </c>
      <c r="B24" t="s">
        <v>42</v>
      </c>
      <c r="C24" t="s">
        <v>6</v>
      </c>
      <c r="D24" s="1">
        <v>1</v>
      </c>
      <c r="E24" s="1">
        <v>4</v>
      </c>
      <c r="F24" t="s">
        <v>79</v>
      </c>
      <c r="G24" t="s">
        <v>50</v>
      </c>
      <c r="H24" t="s">
        <v>51</v>
      </c>
      <c r="I24" t="s">
        <v>13</v>
      </c>
    </row>
    <row r="25" spans="1:9" x14ac:dyDescent="0.3">
      <c r="A25" s="1">
        <v>10</v>
      </c>
      <c r="B25" t="s">
        <v>47</v>
      </c>
      <c r="C25" t="s">
        <v>6</v>
      </c>
      <c r="D25" s="1">
        <v>0</v>
      </c>
      <c r="E25" s="1">
        <v>3</v>
      </c>
      <c r="F25" t="s">
        <v>78</v>
      </c>
      <c r="G25" t="s">
        <v>13</v>
      </c>
      <c r="H25" t="s">
        <v>13</v>
      </c>
      <c r="I25" t="s">
        <v>13</v>
      </c>
    </row>
    <row r="26" spans="1:9" x14ac:dyDescent="0.3">
      <c r="A26" s="1">
        <v>11</v>
      </c>
      <c r="B26" t="s">
        <v>48</v>
      </c>
      <c r="C26" t="s">
        <v>6</v>
      </c>
      <c r="D26" s="1">
        <v>3</v>
      </c>
      <c r="E26" s="1">
        <v>2</v>
      </c>
      <c r="F26" t="s">
        <v>49</v>
      </c>
      <c r="G26" t="s">
        <v>54</v>
      </c>
      <c r="H26" t="s">
        <v>13</v>
      </c>
      <c r="I26" t="s">
        <v>13</v>
      </c>
    </row>
    <row r="27" spans="1:9" x14ac:dyDescent="0.3">
      <c r="G27" t="s">
        <v>55</v>
      </c>
      <c r="H27" t="s">
        <v>56</v>
      </c>
      <c r="I27" t="s">
        <v>13</v>
      </c>
    </row>
    <row r="28" spans="1:9" x14ac:dyDescent="0.3">
      <c r="G28" t="s">
        <v>56</v>
      </c>
      <c r="H28" t="s">
        <v>57</v>
      </c>
      <c r="I28" t="s">
        <v>43</v>
      </c>
    </row>
    <row r="29" spans="1:9" x14ac:dyDescent="0.3">
      <c r="A29" s="1">
        <v>12</v>
      </c>
      <c r="B29" t="s">
        <v>52</v>
      </c>
      <c r="C29" t="s">
        <v>6</v>
      </c>
      <c r="D29" s="1">
        <v>1</v>
      </c>
      <c r="E29" s="1">
        <v>1</v>
      </c>
      <c r="F29" t="s">
        <v>53</v>
      </c>
      <c r="G29" t="s">
        <v>58</v>
      </c>
      <c r="I29" t="s">
        <v>13</v>
      </c>
    </row>
    <row r="30" spans="1:9" x14ac:dyDescent="0.3">
      <c r="A30" s="1">
        <v>13</v>
      </c>
      <c r="B30" t="s">
        <v>59</v>
      </c>
      <c r="C30" t="s">
        <v>6</v>
      </c>
      <c r="D30" s="1">
        <v>1</v>
      </c>
      <c r="E30" s="1">
        <v>0</v>
      </c>
      <c r="F30" t="s">
        <v>15</v>
      </c>
      <c r="G30" t="s">
        <v>64</v>
      </c>
      <c r="H30" t="s">
        <v>58</v>
      </c>
      <c r="I30" t="s">
        <v>13</v>
      </c>
    </row>
    <row r="31" spans="1:9" ht="14.4" customHeight="1" x14ac:dyDescent="0.3">
      <c r="A31" s="1">
        <v>14</v>
      </c>
      <c r="B31" t="s">
        <v>60</v>
      </c>
      <c r="C31" t="s">
        <v>17</v>
      </c>
      <c r="D31" s="1">
        <v>0</v>
      </c>
      <c r="E31" s="1">
        <v>3</v>
      </c>
      <c r="F31" t="s">
        <v>6</v>
      </c>
      <c r="G31" t="s">
        <v>62</v>
      </c>
      <c r="H31" t="s">
        <v>61</v>
      </c>
      <c r="I31" t="s">
        <v>13</v>
      </c>
    </row>
    <row r="32" spans="1:9" x14ac:dyDescent="0.3">
      <c r="G32" t="s">
        <v>66</v>
      </c>
      <c r="H32" t="s">
        <v>105</v>
      </c>
      <c r="I32" t="s">
        <v>13</v>
      </c>
    </row>
    <row r="33" spans="1:9" x14ac:dyDescent="0.3">
      <c r="G33" t="s">
        <v>26</v>
      </c>
      <c r="H33" t="s">
        <v>63</v>
      </c>
      <c r="I33" t="s">
        <v>13</v>
      </c>
    </row>
    <row r="34" spans="1:9" x14ac:dyDescent="0.3">
      <c r="A34" s="1">
        <v>15</v>
      </c>
      <c r="B34" t="s">
        <v>65</v>
      </c>
      <c r="C34" t="s">
        <v>19</v>
      </c>
      <c r="D34" s="1">
        <v>0</v>
      </c>
      <c r="E34" s="1">
        <v>4</v>
      </c>
      <c r="F34" t="s">
        <v>6</v>
      </c>
      <c r="G34" t="s">
        <v>113</v>
      </c>
      <c r="I34" t="s">
        <v>13</v>
      </c>
    </row>
    <row r="35" spans="1:9" x14ac:dyDescent="0.3">
      <c r="G35" t="s">
        <v>30</v>
      </c>
      <c r="H35" t="s">
        <v>34</v>
      </c>
      <c r="I35" t="s">
        <v>13</v>
      </c>
    </row>
    <row r="36" spans="1:9" x14ac:dyDescent="0.3">
      <c r="G36" t="s">
        <v>61</v>
      </c>
      <c r="H36" t="s">
        <v>38</v>
      </c>
      <c r="I36" t="s">
        <v>69</v>
      </c>
    </row>
    <row r="37" spans="1:9" x14ac:dyDescent="0.3">
      <c r="G37" t="s">
        <v>67</v>
      </c>
      <c r="H37" t="s">
        <v>68</v>
      </c>
      <c r="I37" t="s">
        <v>62</v>
      </c>
    </row>
    <row r="38" spans="1:9" x14ac:dyDescent="0.3">
      <c r="A38" s="1">
        <v>16</v>
      </c>
      <c r="B38" t="s">
        <v>70</v>
      </c>
      <c r="C38" t="s">
        <v>6</v>
      </c>
      <c r="D38" s="1">
        <v>2</v>
      </c>
      <c r="E38" s="1">
        <v>1</v>
      </c>
      <c r="F38" t="s">
        <v>71</v>
      </c>
      <c r="G38" t="s">
        <v>75</v>
      </c>
      <c r="H38" t="s">
        <v>13</v>
      </c>
      <c r="I38" t="s">
        <v>13</v>
      </c>
    </row>
    <row r="39" spans="1:9" x14ac:dyDescent="0.3">
      <c r="G39" t="s">
        <v>73</v>
      </c>
      <c r="H39" t="s">
        <v>74</v>
      </c>
      <c r="I39" t="s">
        <v>13</v>
      </c>
    </row>
    <row r="40" spans="1:9" x14ac:dyDescent="0.3">
      <c r="A40" s="1">
        <v>17</v>
      </c>
      <c r="B40" t="s">
        <v>76</v>
      </c>
      <c r="C40" t="s">
        <v>79</v>
      </c>
      <c r="D40" s="1">
        <v>4</v>
      </c>
      <c r="E40" s="1">
        <v>0</v>
      </c>
      <c r="F40" t="s">
        <v>6</v>
      </c>
      <c r="G40" t="s">
        <v>13</v>
      </c>
      <c r="H40" t="s">
        <v>13</v>
      </c>
      <c r="I40" t="s">
        <v>13</v>
      </c>
    </row>
    <row r="41" spans="1:9" x14ac:dyDescent="0.3">
      <c r="A41" s="1">
        <v>18</v>
      </c>
      <c r="B41" t="s">
        <v>77</v>
      </c>
      <c r="C41" t="s">
        <v>78</v>
      </c>
      <c r="D41" s="1">
        <v>3</v>
      </c>
      <c r="E41" s="1">
        <v>1</v>
      </c>
      <c r="F41" t="s">
        <v>6</v>
      </c>
      <c r="G41" t="s">
        <v>80</v>
      </c>
      <c r="H41" t="s">
        <v>13</v>
      </c>
      <c r="I41" t="s">
        <v>13</v>
      </c>
    </row>
    <row r="42" spans="1:9" x14ac:dyDescent="0.3">
      <c r="A42" s="1">
        <v>19</v>
      </c>
      <c r="B42" t="s">
        <v>81</v>
      </c>
      <c r="C42" t="s">
        <v>49</v>
      </c>
      <c r="D42" s="1">
        <v>0</v>
      </c>
      <c r="E42" s="1">
        <v>3</v>
      </c>
      <c r="F42" t="s">
        <v>6</v>
      </c>
      <c r="G42" t="s">
        <v>112</v>
      </c>
      <c r="H42" t="s">
        <v>13</v>
      </c>
      <c r="I42" t="s">
        <v>13</v>
      </c>
    </row>
    <row r="43" spans="1:9" x14ac:dyDescent="0.3">
      <c r="G43" t="s">
        <v>83</v>
      </c>
      <c r="H43" t="s">
        <v>13</v>
      </c>
      <c r="I43" t="s">
        <v>13</v>
      </c>
    </row>
    <row r="45" spans="1:9" x14ac:dyDescent="0.3">
      <c r="A45" s="1">
        <v>20</v>
      </c>
      <c r="B45" t="s">
        <v>82</v>
      </c>
      <c r="C45" t="s">
        <v>6</v>
      </c>
      <c r="D45" s="1">
        <v>2</v>
      </c>
      <c r="E45" s="1">
        <v>1</v>
      </c>
      <c r="F45" t="s">
        <v>49</v>
      </c>
      <c r="G45" t="s">
        <v>84</v>
      </c>
      <c r="H45" t="s">
        <v>85</v>
      </c>
    </row>
    <row r="46" spans="1:9" x14ac:dyDescent="0.3">
      <c r="G46" t="s">
        <v>86</v>
      </c>
      <c r="H46" t="s">
        <v>87</v>
      </c>
      <c r="I46" t="s">
        <v>88</v>
      </c>
    </row>
    <row r="47" spans="1:9" x14ac:dyDescent="0.3">
      <c r="A47" s="1">
        <v>21</v>
      </c>
      <c r="B47" t="s">
        <v>89</v>
      </c>
      <c r="C47" t="s">
        <v>90</v>
      </c>
      <c r="D47" s="1">
        <v>1</v>
      </c>
      <c r="E47" s="1">
        <v>0</v>
      </c>
      <c r="F47" t="s">
        <v>6</v>
      </c>
      <c r="G47" t="s">
        <v>13</v>
      </c>
      <c r="H47" t="s">
        <v>13</v>
      </c>
      <c r="I47" t="s">
        <v>13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4DA1-E5F1-4DB8-9ADC-15F671379319}">
  <dimension ref="C1:H20"/>
  <sheetViews>
    <sheetView tabSelected="1" workbookViewId="0">
      <selection activeCell="J6" sqref="J6"/>
    </sheetView>
  </sheetViews>
  <sheetFormatPr defaultRowHeight="14.4" x14ac:dyDescent="0.3"/>
  <cols>
    <col min="1" max="2" width="6.21875" customWidth="1"/>
    <col min="3" max="3" width="5.109375" style="1" customWidth="1"/>
    <col min="4" max="4" width="20.21875" customWidth="1"/>
    <col min="5" max="7" width="8.88671875" style="1"/>
    <col min="8" max="8" width="8.88671875" style="1" customWidth="1"/>
  </cols>
  <sheetData>
    <row r="1" spans="3:8" ht="13.8" customHeight="1" x14ac:dyDescent="0.3"/>
    <row r="2" spans="3:8" ht="19.2" customHeight="1" x14ac:dyDescent="0.3">
      <c r="C2" s="15" t="s">
        <v>0</v>
      </c>
      <c r="D2" s="15"/>
      <c r="E2" s="15"/>
      <c r="F2" s="15"/>
      <c r="G2" s="15"/>
      <c r="H2" s="15"/>
    </row>
    <row r="3" spans="3:8" s="6" customFormat="1" ht="7.2" customHeight="1" x14ac:dyDescent="0.3">
      <c r="C3" s="10"/>
      <c r="D3" s="8"/>
      <c r="E3" s="8"/>
      <c r="F3" s="8"/>
      <c r="G3" s="8"/>
      <c r="H3" s="8"/>
    </row>
    <row r="4" spans="3:8" s="6" customFormat="1" ht="13.8" customHeight="1" x14ac:dyDescent="0.3">
      <c r="C4" s="7" t="s">
        <v>102</v>
      </c>
      <c r="D4" s="7"/>
      <c r="E4" s="7"/>
      <c r="F4" s="7"/>
      <c r="G4" s="7"/>
      <c r="H4" s="7"/>
    </row>
    <row r="5" spans="3:8" ht="9" customHeight="1" x14ac:dyDescent="0.3"/>
    <row r="6" spans="3:8" x14ac:dyDescent="0.3">
      <c r="C6" s="4" t="s">
        <v>108</v>
      </c>
      <c r="D6" s="3" t="s">
        <v>107</v>
      </c>
      <c r="E6" s="4" t="s">
        <v>7</v>
      </c>
      <c r="F6" s="4" t="s">
        <v>91</v>
      </c>
      <c r="G6" s="4" t="s">
        <v>92</v>
      </c>
      <c r="H6" s="9" t="s">
        <v>106</v>
      </c>
    </row>
    <row r="7" spans="3:8" ht="6.6" customHeight="1" x14ac:dyDescent="0.3">
      <c r="C7" s="13"/>
    </row>
    <row r="8" spans="3:8" x14ac:dyDescent="0.3">
      <c r="C8" s="1">
        <v>1</v>
      </c>
      <c r="D8" t="s">
        <v>37</v>
      </c>
      <c r="E8" s="1">
        <v>15</v>
      </c>
      <c r="F8" s="1">
        <v>4</v>
      </c>
      <c r="G8" s="1">
        <f>E8+F8</f>
        <v>19</v>
      </c>
      <c r="H8" s="11">
        <f>G8/$G$20</f>
        <v>0.27536231884057971</v>
      </c>
    </row>
    <row r="9" spans="3:8" x14ac:dyDescent="0.3">
      <c r="C9" s="1">
        <v>3</v>
      </c>
      <c r="D9" t="s">
        <v>93</v>
      </c>
      <c r="E9" s="1">
        <v>6</v>
      </c>
      <c r="F9" s="1">
        <v>11</v>
      </c>
      <c r="G9" s="1">
        <f t="shared" ref="G9:G18" si="0">E9+F9</f>
        <v>17</v>
      </c>
      <c r="H9" s="11">
        <f>G9/$G$20</f>
        <v>0.24637681159420291</v>
      </c>
    </row>
    <row r="10" spans="3:8" x14ac:dyDescent="0.3">
      <c r="C10" s="1">
        <v>10</v>
      </c>
      <c r="D10" t="s">
        <v>94</v>
      </c>
      <c r="E10" s="1">
        <v>4</v>
      </c>
      <c r="F10" s="1">
        <v>5</v>
      </c>
      <c r="G10" s="1">
        <f t="shared" si="0"/>
        <v>9</v>
      </c>
      <c r="H10" s="11">
        <f>G10/$G$20</f>
        <v>0.13043478260869565</v>
      </c>
    </row>
    <row r="11" spans="3:8" x14ac:dyDescent="0.3">
      <c r="C11" s="1">
        <v>8</v>
      </c>
      <c r="D11" t="s">
        <v>95</v>
      </c>
      <c r="E11" s="1">
        <v>2</v>
      </c>
      <c r="F11" s="1">
        <v>5</v>
      </c>
      <c r="G11" s="1">
        <f t="shared" si="0"/>
        <v>7</v>
      </c>
      <c r="H11" s="11">
        <f>G11/$G$20</f>
        <v>0.10144927536231885</v>
      </c>
    </row>
    <row r="12" spans="3:8" x14ac:dyDescent="0.3">
      <c r="C12" s="1">
        <v>11</v>
      </c>
      <c r="D12" t="s">
        <v>96</v>
      </c>
      <c r="E12" s="1">
        <v>3</v>
      </c>
      <c r="F12" s="1">
        <v>3</v>
      </c>
      <c r="G12" s="1">
        <f t="shared" si="0"/>
        <v>6</v>
      </c>
      <c r="H12" s="11">
        <f>G12/$G$20</f>
        <v>8.6956521739130432E-2</v>
      </c>
    </row>
    <row r="13" spans="3:8" x14ac:dyDescent="0.3">
      <c r="C13" s="1">
        <v>14</v>
      </c>
      <c r="D13" t="s">
        <v>97</v>
      </c>
      <c r="E13" s="1">
        <v>3</v>
      </c>
      <c r="F13" s="1">
        <v>1</v>
      </c>
      <c r="G13" s="1">
        <f t="shared" si="0"/>
        <v>4</v>
      </c>
      <c r="H13" s="11">
        <f>G13/$G$20</f>
        <v>5.7971014492753624E-2</v>
      </c>
    </row>
    <row r="14" spans="3:8" x14ac:dyDescent="0.3">
      <c r="C14" s="1">
        <v>15</v>
      </c>
      <c r="D14" t="s">
        <v>72</v>
      </c>
      <c r="E14" s="1">
        <v>2</v>
      </c>
      <c r="F14" s="1">
        <v>0</v>
      </c>
      <c r="G14" s="1">
        <f t="shared" si="0"/>
        <v>2</v>
      </c>
      <c r="H14" s="11">
        <f>G14/$G$20</f>
        <v>2.8985507246376812E-2</v>
      </c>
    </row>
    <row r="15" spans="3:8" x14ac:dyDescent="0.3">
      <c r="C15" s="1">
        <v>17</v>
      </c>
      <c r="D15" t="s">
        <v>98</v>
      </c>
      <c r="E15" s="1">
        <v>1</v>
      </c>
      <c r="F15" s="1">
        <v>1</v>
      </c>
      <c r="G15" s="1">
        <f t="shared" si="0"/>
        <v>2</v>
      </c>
      <c r="H15" s="11">
        <f>G15/$G$20</f>
        <v>2.8985507246376812E-2</v>
      </c>
    </row>
    <row r="16" spans="3:8" x14ac:dyDescent="0.3">
      <c r="C16" s="1">
        <v>4</v>
      </c>
      <c r="D16" t="s">
        <v>100</v>
      </c>
      <c r="E16" s="1">
        <v>0</v>
      </c>
      <c r="F16" s="1">
        <v>1</v>
      </c>
      <c r="G16" s="1">
        <f t="shared" si="0"/>
        <v>1</v>
      </c>
      <c r="H16" s="11">
        <f>G16/$G$20</f>
        <v>1.4492753623188406E-2</v>
      </c>
    </row>
    <row r="17" spans="3:8" x14ac:dyDescent="0.3">
      <c r="C17" s="1">
        <v>21</v>
      </c>
      <c r="D17" t="s">
        <v>99</v>
      </c>
      <c r="E17" s="1">
        <v>0</v>
      </c>
      <c r="F17" s="1">
        <v>1</v>
      </c>
      <c r="G17" s="1">
        <f t="shared" si="0"/>
        <v>1</v>
      </c>
      <c r="H17" s="11">
        <f>G17/$G$20</f>
        <v>1.4492753623188406E-2</v>
      </c>
    </row>
    <row r="18" spans="3:8" x14ac:dyDescent="0.3">
      <c r="C18" s="14" t="s">
        <v>109</v>
      </c>
      <c r="D18" t="s">
        <v>103</v>
      </c>
      <c r="E18" s="2">
        <v>0</v>
      </c>
      <c r="F18" s="2">
        <v>1</v>
      </c>
      <c r="G18" s="2">
        <f t="shared" si="0"/>
        <v>1</v>
      </c>
      <c r="H18" s="12">
        <f>G18/$G$20</f>
        <v>1.4492753623188406E-2</v>
      </c>
    </row>
    <row r="19" spans="3:8" ht="8.4" customHeight="1" x14ac:dyDescent="0.3">
      <c r="H19" s="11"/>
    </row>
    <row r="20" spans="3:8" x14ac:dyDescent="0.3">
      <c r="E20" s="1">
        <f>SUM(E8:E19)</f>
        <v>36</v>
      </c>
      <c r="F20" s="1">
        <f>SUM(F8:F19)</f>
        <v>33</v>
      </c>
      <c r="G20" s="1">
        <f>SUM(G8:G19)</f>
        <v>69</v>
      </c>
      <c r="H20" s="11">
        <f>G20/$G$20</f>
        <v>1</v>
      </c>
    </row>
  </sheetData>
  <mergeCells count="2">
    <mergeCell ref="C4:H4"/>
    <mergeCell ref="C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Stats</vt:lpstr>
      <vt:lpstr>Team Leaders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McLintock</dc:creator>
  <cp:lastModifiedBy>John McLintock</cp:lastModifiedBy>
  <cp:lastPrinted>2026-10-25T17:26:02Z</cp:lastPrinted>
  <dcterms:created xsi:type="dcterms:W3CDTF">2026-10-24T15:29:09Z</dcterms:created>
  <dcterms:modified xsi:type="dcterms:W3CDTF">2026-10-25T17:30:58Z</dcterms:modified>
</cp:coreProperties>
</file>